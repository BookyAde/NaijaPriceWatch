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heri\Downloads\"/>
    </mc:Choice>
  </mc:AlternateContent>
  <xr:revisionPtr revIDLastSave="0" documentId="13_ncr:1_{F8BB37EB-6558-40EE-A37B-CE686DCF5139}" xr6:coauthVersionLast="47" xr6:coauthVersionMax="47" xr10:uidLastSave="{00000000-0000-0000-0000-000000000000}"/>
  <bookViews>
    <workbookView xWindow="-120" yWindow="-120" windowWidth="20730" windowHeight="11160" xr2:uid="{CDEFECC9-927E-4B42-ABEF-E18054B87228}"/>
  </bookViews>
  <sheets>
    <sheet name="Selected Food Jan 2025" sheetId="1" r:id="rId1"/>
    <sheet name="Zone All ite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10" i="1"/>
  <c r="E11" i="1"/>
  <c r="E12" i="1"/>
  <c r="E13" i="1"/>
  <c r="E16" i="1"/>
  <c r="E17" i="1"/>
  <c r="E22" i="1"/>
  <c r="E24" i="1"/>
  <c r="E25" i="1"/>
  <c r="E26" i="1"/>
  <c r="E27" i="1"/>
  <c r="E28" i="1"/>
  <c r="E29" i="1"/>
  <c r="E30" i="1"/>
  <c r="E31" i="1"/>
  <c r="E34" i="1"/>
  <c r="E35" i="1"/>
  <c r="E36" i="1"/>
  <c r="E38" i="1"/>
  <c r="E39" i="1"/>
  <c r="E40" i="1"/>
  <c r="E42" i="1"/>
  <c r="E43" i="1"/>
  <c r="F4" i="1"/>
  <c r="F5" i="1"/>
  <c r="F6" i="1"/>
  <c r="F10" i="1"/>
  <c r="F11" i="1"/>
  <c r="F12" i="1"/>
  <c r="F13" i="1"/>
  <c r="F16" i="1"/>
  <c r="F17" i="1"/>
  <c r="F22" i="1"/>
  <c r="F24" i="1"/>
  <c r="F25" i="1"/>
  <c r="F26" i="1"/>
  <c r="F27" i="1"/>
  <c r="F28" i="1"/>
  <c r="F29" i="1"/>
  <c r="F30" i="1"/>
  <c r="F31" i="1"/>
  <c r="F34" i="1"/>
  <c r="F35" i="1"/>
  <c r="F36" i="1"/>
  <c r="F38" i="1"/>
  <c r="F39" i="1"/>
  <c r="F40" i="1"/>
  <c r="F42" i="1"/>
  <c r="F43" i="1"/>
  <c r="F2" i="1"/>
  <c r="E2" i="1"/>
</calcChain>
</file>

<file path=xl/sharedStrings.xml><?xml version="1.0" encoding="utf-8"?>
<sst xmlns="http://schemas.openxmlformats.org/spreadsheetml/2006/main" count="183" uniqueCount="142">
  <si>
    <t>Average of Jan-24</t>
  </si>
  <si>
    <t>Average of Dec-24</t>
  </si>
  <si>
    <t>Average of Jan-25</t>
  </si>
  <si>
    <t>MoM</t>
  </si>
  <si>
    <t>YoY</t>
  </si>
  <si>
    <t>Highest</t>
  </si>
  <si>
    <t>Lowest</t>
  </si>
  <si>
    <t xml:space="preserve">Agric hen eggs, </t>
  </si>
  <si>
    <t>Agric hen eggs, (a Crate of 30 pieces)</t>
  </si>
  <si>
    <t>Beans Brown</t>
  </si>
  <si>
    <t>Beans white</t>
  </si>
  <si>
    <t>Beef Boneless</t>
  </si>
  <si>
    <t>Bread (sliced), 450g</t>
  </si>
  <si>
    <t>Bread (unsliced), 450g</t>
  </si>
  <si>
    <t>Cat fresh fish</t>
  </si>
  <si>
    <t>Chicken feet</t>
  </si>
  <si>
    <t>Chicken meat (Frozen)</t>
  </si>
  <si>
    <t>Chicken Wings</t>
  </si>
  <si>
    <t>Dried fish, Bonga</t>
  </si>
  <si>
    <t>Garri white</t>
  </si>
  <si>
    <t>Garri Yellow</t>
  </si>
  <si>
    <t>Groundnut oil, 75cl</t>
  </si>
  <si>
    <t>Irish Potatoe</t>
  </si>
  <si>
    <t>Local Rice (Broken)</t>
  </si>
  <si>
    <t>Mackerel, Frozen</t>
  </si>
  <si>
    <t>Maize (Corn) Grains (White) sold loose</t>
  </si>
  <si>
    <t xml:space="preserve">Onions, fresh </t>
  </si>
  <si>
    <t>Palm oil, 75cl</t>
  </si>
  <si>
    <t>Plantain (ripe)</t>
  </si>
  <si>
    <t>Plantain (unripe)</t>
  </si>
  <si>
    <t>Adamawa (1800)</t>
  </si>
  <si>
    <t>Rice Local, short-Grained</t>
  </si>
  <si>
    <t>Taraba (1700)</t>
  </si>
  <si>
    <t>Rice Long-Grained (Imported)</t>
  </si>
  <si>
    <t>Smoked fish (Mackerel)</t>
  </si>
  <si>
    <t xml:space="preserve">Sweet potatoes </t>
  </si>
  <si>
    <t>Tilapia fresh fish (Epiya)</t>
  </si>
  <si>
    <t>Tin Milk-Evaporated, Peak Milk, 150g</t>
  </si>
  <si>
    <t>Tin Milk-Evaporated, Three Crown Milk, 160g</t>
  </si>
  <si>
    <t>Titus, frozen</t>
  </si>
  <si>
    <t xml:space="preserve">Tomatoes, fresh </t>
  </si>
  <si>
    <t>Vegetable Oil, 75cl</t>
  </si>
  <si>
    <t>Wheat Flour, Prepacked (2kg)</t>
  </si>
  <si>
    <t>Yam Tuber</t>
  </si>
  <si>
    <t>Item Label</t>
  </si>
  <si>
    <t>Agric hen eggs</t>
  </si>
  <si>
    <t>Adamawa (200)</t>
  </si>
  <si>
    <t>Niger (4613.06)</t>
  </si>
  <si>
    <t>Sokoto (1575.36)</t>
  </si>
  <si>
    <t>Sokoto (1370.59)</t>
  </si>
  <si>
    <t>Benue (4200)</t>
  </si>
  <si>
    <t>Osun (1300)</t>
  </si>
  <si>
    <t>Yobe (900)</t>
  </si>
  <si>
    <t>Kaduna (3442.5)</t>
  </si>
  <si>
    <t>Taraba (2000)</t>
  </si>
  <si>
    <t>Sokoto (4000)</t>
  </si>
  <si>
    <t>Yobe (2709.25)</t>
  </si>
  <si>
    <t>Bayelsa (4202.78)</t>
  </si>
  <si>
    <t>Oyo (909.09)</t>
  </si>
  <si>
    <t>Benue (980.24)</t>
  </si>
  <si>
    <t>Adamawa (2000)</t>
  </si>
  <si>
    <t>Abuja (972.45)</t>
  </si>
  <si>
    <t>Yobe (1416.67)</t>
  </si>
  <si>
    <t>Zamfara (3196.67)</t>
  </si>
  <si>
    <t>Kebbi (692.27)</t>
  </si>
  <si>
    <t>Taraba (520)</t>
  </si>
  <si>
    <t>Taraba (1363.33)</t>
  </si>
  <si>
    <t>Lagos (1584.06)</t>
  </si>
  <si>
    <t>Oyo (1564.71)</t>
  </si>
  <si>
    <t>Oyo (1578.69)</t>
  </si>
  <si>
    <t>Oyo (1935.48)</t>
  </si>
  <si>
    <t>Kebbi (3360.04)</t>
  </si>
  <si>
    <t>Nasarawa (500)</t>
  </si>
  <si>
    <t>Kebbi (3692.11)</t>
  </si>
  <si>
    <t>Bayelsa (725)</t>
  </si>
  <si>
    <t>Benue (675)</t>
  </si>
  <si>
    <t>Taraba (4000)</t>
  </si>
  <si>
    <t>Kebbi (512.96)</t>
  </si>
  <si>
    <t>Bauchi (2700)</t>
  </si>
  <si>
    <t>Ondo (1450)</t>
  </si>
  <si>
    <t>Smoked fish</t>
  </si>
  <si>
    <t>Enugu (325)</t>
  </si>
  <si>
    <t>Enugu (7000)</t>
  </si>
  <si>
    <t>Abia (3230.87)</t>
  </si>
  <si>
    <t>Enugu (2722.76)</t>
  </si>
  <si>
    <t>Imo (8239.82)</t>
  </si>
  <si>
    <t>Ogun (1950)</t>
  </si>
  <si>
    <t>Akwa Ibom (1800)</t>
  </si>
  <si>
    <t>Plateau (7608.1)</t>
  </si>
  <si>
    <t>Ondo (4750)</t>
  </si>
  <si>
    <t>Ebonyi (7800)</t>
  </si>
  <si>
    <t>Niger (5703.26)</t>
  </si>
  <si>
    <t>Enugu (8900)</t>
  </si>
  <si>
    <t>Abuja (1662.11)</t>
  </si>
  <si>
    <t>Gombe (1692.31)</t>
  </si>
  <si>
    <t>Ogun (3900)</t>
  </si>
  <si>
    <t>Oyo (2687.5)</t>
  </si>
  <si>
    <t>Ogun (4500)</t>
  </si>
  <si>
    <t>Plateau (8696.05)</t>
  </si>
  <si>
    <t>Imo (1762.5)</t>
  </si>
  <si>
    <t>Cross River (2500)</t>
  </si>
  <si>
    <t>Ogun (3000)</t>
  </si>
  <si>
    <t>Akwa Ibom (2202.78)</t>
  </si>
  <si>
    <t>Plateau (2821.97)</t>
  </si>
  <si>
    <t>Plateau (2559.74)</t>
  </si>
  <si>
    <t>Plateau (3181.82)</t>
  </si>
  <si>
    <t>Kwara (8000)</t>
  </si>
  <si>
    <t>Benue (8239.29)</t>
  </si>
  <si>
    <t>Rivers (1150)</t>
  </si>
  <si>
    <t>Bayelsa (1200)</t>
  </si>
  <si>
    <t>Kwara (8343.26)</t>
  </si>
  <si>
    <t>Ebonyi (1778.11)</t>
  </si>
  <si>
    <t>Ekiti (4616.67)</t>
  </si>
  <si>
    <t>Borno (5500)</t>
  </si>
  <si>
    <t>Ogun (2566.67)</t>
  </si>
  <si>
    <t>NORTH CENTRAL</t>
  </si>
  <si>
    <t>NORTH EAST</t>
  </si>
  <si>
    <t>NORTH WEST</t>
  </si>
  <si>
    <t>SOUTH EAST</t>
  </si>
  <si>
    <t>SOUTH SOUTH</t>
  </si>
  <si>
    <t>SOUTH WEST</t>
  </si>
  <si>
    <t>Carrots, fresh</t>
  </si>
  <si>
    <t>Cray fish small white</t>
  </si>
  <si>
    <t>Ginger, fresh</t>
  </si>
  <si>
    <t>Groundnuts, roasted,75cl bottle</t>
  </si>
  <si>
    <t>Semovita, Prepacked (1kg)</t>
  </si>
  <si>
    <t>Watermelon whole, medium size fresh</t>
  </si>
  <si>
    <t>Goat Meat Bone in</t>
  </si>
  <si>
    <t>Benue (1400)</t>
  </si>
  <si>
    <t>Bayelsa (4000)</t>
  </si>
  <si>
    <t>Katsina (2550)</t>
  </si>
  <si>
    <t>Kogi (3925)</t>
  </si>
  <si>
    <t>Kano (1806.47)</t>
  </si>
  <si>
    <t>Oyo (1700)</t>
  </si>
  <si>
    <t>Zamfara (1200)</t>
  </si>
  <si>
    <t>Bayelsa (2572.73)</t>
  </si>
  <si>
    <t>Abuja (7800)</t>
  </si>
  <si>
    <t>Oyo (5000)</t>
  </si>
  <si>
    <t>Akwa Ibom (8687.5)</t>
  </si>
  <si>
    <t>Bayelsa (3125)</t>
  </si>
  <si>
    <t>Rivers (2550)</t>
  </si>
  <si>
    <t>Akwa Ibom (2500)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</si>
</sst>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rbel"/>
      <family val="2"/>
    </font>
    <font>
      <b/>
      <i/>
      <sz val="11"/>
      <color theme="9" tint="-0.249977111117893"/>
      <name val="Corbel"/>
      <family val="2"/>
    </font>
    <font>
      <b/>
      <i/>
      <sz val="11"/>
      <color rgb="FFC00000"/>
      <name val="Corbel"/>
      <family val="2"/>
    </font>
    <font>
      <sz val="11"/>
      <color theme="1"/>
      <name val="Corbe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14">
    <xf numFmtId="0" fontId="0" fillId="0" borderId="0" xfId="0"/>
    <xf numFmtId="0" fontId="0" fillId="0" borderId="0" xfId="0" applyAlignment="1">
      <alignment horizontal="center" wrapText="1"/>
    </xf>
    <xf numFmtId="43" fontId="6" fillId="0" borderId="1" xfId="1" applyFont="1" applyBorder="1"/>
    <xf numFmtId="43" fontId="0" fillId="0" borderId="0" xfId="1" applyFont="1"/>
    <xf numFmtId="0" fontId="8" fillId="0" borderId="2" xfId="2" applyFont="1" applyBorder="1" applyAlignment="1">
      <alignment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2" fillId="0" borderId="0" xfId="0" applyFont="1"/>
    <xf numFmtId="43" fontId="3" fillId="2" borderId="1" xfId="1" applyFont="1" applyFill="1" applyBorder="1"/>
    <xf numFmtId="0" fontId="3" fillId="2" borderId="1" xfId="0" applyFont="1" applyFill="1" applyBorder="1" applyAlignment="1">
      <alignment horizontal="center" wrapText="1"/>
    </xf>
    <xf numFmtId="0" fontId="6" fillId="0" borderId="1" xfId="0" applyFont="1" applyBorder="1"/>
    <xf numFmtId="0" fontId="3" fillId="2" borderId="1" xfId="0" applyFont="1" applyFill="1" applyBorder="1"/>
  </cellXfs>
  <cellStyles count="3">
    <cellStyle name="Comma" xfId="1" builtinId="3"/>
    <cellStyle name="Normal" xfId="0" builtinId="0"/>
    <cellStyle name="Normal_Sheet1" xfId="2" xr:uid="{0A4F9CBF-36B7-4986-A0EE-DBFBB7FA47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CF42-6911-4FFE-A9E3-B884C3C68BD0}">
  <sheetPr codeName="Sheet1"/>
  <dimension ref="A1:K51"/>
  <sheetViews>
    <sheetView tabSelected="1" topLeftCell="A28" zoomScale="94" zoomScaleNormal="94" workbookViewId="0">
      <selection activeCell="I13" sqref="I13"/>
    </sheetView>
  </sheetViews>
  <sheetFormatPr defaultRowHeight="15" x14ac:dyDescent="0.25"/>
  <cols>
    <col min="1" max="1" width="39.5703125" customWidth="1"/>
    <col min="2" max="2" width="17.85546875" customWidth="1"/>
    <col min="3" max="3" width="17" customWidth="1"/>
    <col min="4" max="4" width="17.85546875" bestFit="1" customWidth="1"/>
    <col min="7" max="7" width="18.5703125" bestFit="1" customWidth="1"/>
    <col min="8" max="8" width="18.85546875" customWidth="1"/>
    <col min="9" max="9" width="16.28515625" bestFit="1" customWidth="1"/>
    <col min="11" max="11" width="38.5703125" bestFit="1" customWidth="1"/>
    <col min="12" max="12" width="16.28515625" bestFit="1" customWidth="1"/>
  </cols>
  <sheetData>
    <row r="1" spans="1:11" s="1" customFormat="1" ht="30" x14ac:dyDescent="0.25">
      <c r="A1" s="10" t="s">
        <v>44</v>
      </c>
      <c r="B1" s="5" t="s">
        <v>0</v>
      </c>
      <c r="C1" s="6" t="s">
        <v>1</v>
      </c>
      <c r="D1" s="10" t="s">
        <v>2</v>
      </c>
      <c r="E1" s="11" t="s">
        <v>3</v>
      </c>
      <c r="F1" s="11" t="s">
        <v>4</v>
      </c>
      <c r="G1" s="8" t="s">
        <v>5</v>
      </c>
      <c r="H1" s="7" t="s">
        <v>6</v>
      </c>
    </row>
    <row r="2" spans="1:11" ht="15" customHeight="1" x14ac:dyDescent="0.25">
      <c r="A2" s="2" t="s">
        <v>45</v>
      </c>
      <c r="B2" s="2">
        <v>116.41</v>
      </c>
      <c r="C2" s="2">
        <v>252.16549790250127</v>
      </c>
      <c r="D2" s="2">
        <v>248.04139052252253</v>
      </c>
      <c r="E2" s="2">
        <f>(D2-C2)/C2*100</f>
        <v>-1.6354764685426186</v>
      </c>
      <c r="F2" s="2">
        <f>(D2-B2)/B2*100</f>
        <v>113.07567264197451</v>
      </c>
      <c r="G2" s="12" t="s">
        <v>81</v>
      </c>
      <c r="H2" s="12" t="s">
        <v>46</v>
      </c>
      <c r="K2" s="4"/>
    </row>
    <row r="3" spans="1:11" ht="15" customHeight="1" x14ac:dyDescent="0.25">
      <c r="A3" s="2" t="s">
        <v>8</v>
      </c>
      <c r="B3" s="2"/>
      <c r="C3" s="2"/>
      <c r="D3" s="2">
        <v>5878.1406466216222</v>
      </c>
      <c r="E3" s="2"/>
      <c r="F3" s="2"/>
      <c r="G3" s="12" t="s">
        <v>82</v>
      </c>
      <c r="H3" s="12" t="s">
        <v>47</v>
      </c>
      <c r="K3" s="4"/>
    </row>
    <row r="4" spans="1:11" ht="15" customHeight="1" x14ac:dyDescent="0.25">
      <c r="A4" s="2" t="s">
        <v>9</v>
      </c>
      <c r="B4" s="2">
        <v>976.58407104610922</v>
      </c>
      <c r="C4" s="2">
        <v>2501.3235254572801</v>
      </c>
      <c r="D4" s="2">
        <v>2458.5332882957205</v>
      </c>
      <c r="E4" s="2">
        <f t="shared" ref="E4:E43" si="0">(D4-C4)/C4*100</f>
        <v>-1.7107038224388391</v>
      </c>
      <c r="F4" s="2">
        <f t="shared" ref="F4:F43" si="1">(D4-B4)/B4*100</f>
        <v>151.7482479170645</v>
      </c>
      <c r="G4" s="12" t="s">
        <v>83</v>
      </c>
      <c r="H4" s="12" t="s">
        <v>48</v>
      </c>
      <c r="K4" s="4"/>
    </row>
    <row r="5" spans="1:11" ht="15" customHeight="1" x14ac:dyDescent="0.25">
      <c r="A5" s="2" t="s">
        <v>10</v>
      </c>
      <c r="B5" s="2">
        <v>921.37822431816494</v>
      </c>
      <c r="C5" s="2">
        <v>2319.0422043194067</v>
      </c>
      <c r="D5" s="2">
        <v>2123.8529942048917</v>
      </c>
      <c r="E5" s="2">
        <f t="shared" si="0"/>
        <v>-8.4168028400241699</v>
      </c>
      <c r="F5" s="2">
        <f t="shared" si="1"/>
        <v>130.50826882484421</v>
      </c>
      <c r="G5" s="12" t="s">
        <v>84</v>
      </c>
      <c r="H5" s="12" t="s">
        <v>49</v>
      </c>
      <c r="K5" s="4"/>
    </row>
    <row r="6" spans="1:11" ht="15" customHeight="1" x14ac:dyDescent="0.25">
      <c r="A6" s="2" t="s">
        <v>11</v>
      </c>
      <c r="B6" s="2">
        <v>3315.7811060455319</v>
      </c>
      <c r="C6" s="2">
        <v>6150.1828826503897</v>
      </c>
      <c r="D6" s="2">
        <v>6122.5682943123229</v>
      </c>
      <c r="E6" s="2">
        <f t="shared" si="0"/>
        <v>-0.44900434450441024</v>
      </c>
      <c r="F6" s="2">
        <f t="shared" si="1"/>
        <v>84.649351042784076</v>
      </c>
      <c r="G6" s="12" t="s">
        <v>85</v>
      </c>
      <c r="H6" s="12" t="s">
        <v>50</v>
      </c>
      <c r="K6" s="4"/>
    </row>
    <row r="7" spans="1:11" ht="15" customHeight="1" x14ac:dyDescent="0.25">
      <c r="A7" s="2" t="s">
        <v>12</v>
      </c>
      <c r="B7" s="2"/>
      <c r="C7" s="2"/>
      <c r="D7" s="2">
        <v>1604.7842497597594</v>
      </c>
      <c r="E7" s="2"/>
      <c r="F7" s="2"/>
      <c r="G7" s="12" t="s">
        <v>86</v>
      </c>
      <c r="H7" s="12" t="s">
        <v>51</v>
      </c>
      <c r="K7" s="4"/>
    </row>
    <row r="8" spans="1:11" ht="14.45" customHeight="1" x14ac:dyDescent="0.25">
      <c r="A8" s="2" t="s">
        <v>13</v>
      </c>
      <c r="B8" s="2"/>
      <c r="C8" s="2"/>
      <c r="D8" s="2">
        <v>1452.9829733163879</v>
      </c>
      <c r="E8" s="2"/>
      <c r="F8" s="2"/>
      <c r="G8" s="12" t="s">
        <v>87</v>
      </c>
      <c r="H8" s="12" t="s">
        <v>52</v>
      </c>
      <c r="K8" s="4"/>
    </row>
    <row r="9" spans="1:11" ht="14.45" customHeight="1" x14ac:dyDescent="0.25">
      <c r="A9" s="2" t="s">
        <v>121</v>
      </c>
      <c r="B9" s="12"/>
      <c r="C9" s="2"/>
      <c r="D9" s="2">
        <v>1787.1614513333329</v>
      </c>
      <c r="E9" s="2"/>
      <c r="F9" s="2"/>
      <c r="G9" s="12" t="s">
        <v>135</v>
      </c>
      <c r="H9" s="12" t="s">
        <v>128</v>
      </c>
      <c r="K9" s="4"/>
    </row>
    <row r="10" spans="1:11" ht="15" customHeight="1" x14ac:dyDescent="0.25">
      <c r="A10" s="2" t="s">
        <v>14</v>
      </c>
      <c r="B10" s="2">
        <v>2497.374124764141</v>
      </c>
      <c r="C10" s="2">
        <v>4347.4445511750318</v>
      </c>
      <c r="D10" s="2">
        <v>5226.8705778404656</v>
      </c>
      <c r="E10" s="2">
        <f t="shared" si="0"/>
        <v>20.228573735983396</v>
      </c>
      <c r="F10" s="2">
        <f t="shared" si="1"/>
        <v>109.29465577505756</v>
      </c>
      <c r="G10" s="12" t="s">
        <v>88</v>
      </c>
      <c r="H10" s="12" t="s">
        <v>53</v>
      </c>
      <c r="K10" s="4"/>
    </row>
    <row r="11" spans="1:11" ht="15" customHeight="1" x14ac:dyDescent="0.25">
      <c r="A11" s="2" t="s">
        <v>15</v>
      </c>
      <c r="B11" s="2">
        <v>2052.1003035521235</v>
      </c>
      <c r="C11" s="2">
        <v>3397.8333501590441</v>
      </c>
      <c r="D11" s="2">
        <v>3293.6295746176602</v>
      </c>
      <c r="E11" s="2">
        <f t="shared" si="0"/>
        <v>-3.0667712275090366</v>
      </c>
      <c r="F11" s="2">
        <f t="shared" si="1"/>
        <v>60.500418469627782</v>
      </c>
      <c r="G11" s="12" t="s">
        <v>89</v>
      </c>
      <c r="H11" s="12" t="s">
        <v>54</v>
      </c>
      <c r="K11" s="4"/>
    </row>
    <row r="12" spans="1:11" ht="15" customHeight="1" x14ac:dyDescent="0.25">
      <c r="A12" s="2" t="s">
        <v>16</v>
      </c>
      <c r="B12" s="2">
        <v>4007.5773169253207</v>
      </c>
      <c r="C12" s="2">
        <v>6473.8064171377719</v>
      </c>
      <c r="D12" s="2">
        <v>5497.0311353705474</v>
      </c>
      <c r="E12" s="2">
        <f t="shared" si="0"/>
        <v>-15.088113836420222</v>
      </c>
      <c r="F12" s="2">
        <f t="shared" si="1"/>
        <v>37.16594093281175</v>
      </c>
      <c r="G12" s="12" t="s">
        <v>90</v>
      </c>
      <c r="H12" s="12" t="s">
        <v>55</v>
      </c>
      <c r="K12" s="4"/>
    </row>
    <row r="13" spans="1:11" ht="15" customHeight="1" x14ac:dyDescent="0.25">
      <c r="A13" s="2" t="s">
        <v>17</v>
      </c>
      <c r="B13" s="2">
        <v>2506.8092084185414</v>
      </c>
      <c r="C13" s="2">
        <v>4422.8021562329423</v>
      </c>
      <c r="D13" s="2">
        <v>4340.1077806622243</v>
      </c>
      <c r="E13" s="2">
        <f t="shared" si="0"/>
        <v>-1.8697281191784463</v>
      </c>
      <c r="F13" s="2">
        <f t="shared" si="1"/>
        <v>73.132752428344844</v>
      </c>
      <c r="G13" s="12" t="s">
        <v>91</v>
      </c>
      <c r="H13" s="12" t="s">
        <v>56</v>
      </c>
      <c r="K13" s="4"/>
    </row>
    <row r="14" spans="1:11" ht="15" customHeight="1" x14ac:dyDescent="0.25">
      <c r="A14" s="2" t="s">
        <v>122</v>
      </c>
      <c r="B14" s="12"/>
      <c r="C14" s="2"/>
      <c r="D14" s="2">
        <v>6227.0407199211704</v>
      </c>
      <c r="E14" s="2"/>
      <c r="F14" s="2"/>
      <c r="G14" s="12" t="s">
        <v>136</v>
      </c>
      <c r="H14" s="12" t="s">
        <v>129</v>
      </c>
      <c r="K14" s="4"/>
    </row>
    <row r="15" spans="1:11" ht="15" customHeight="1" x14ac:dyDescent="0.25">
      <c r="A15" s="2" t="s">
        <v>18</v>
      </c>
      <c r="B15" s="2"/>
      <c r="C15" s="2"/>
      <c r="D15" s="2">
        <v>6131.9801153648632</v>
      </c>
      <c r="E15" s="2"/>
      <c r="F15" s="2"/>
      <c r="G15" s="12" t="s">
        <v>92</v>
      </c>
      <c r="H15" s="12" t="s">
        <v>57</v>
      </c>
      <c r="K15" s="4"/>
    </row>
    <row r="16" spans="1:11" ht="15" customHeight="1" x14ac:dyDescent="0.25">
      <c r="A16" s="2" t="s">
        <v>19</v>
      </c>
      <c r="B16" s="2">
        <v>600.6871957820216</v>
      </c>
      <c r="C16" s="2">
        <v>1184.7661828727889</v>
      </c>
      <c r="D16" s="2">
        <v>1267.6348809931148</v>
      </c>
      <c r="E16" s="2">
        <f t="shared" si="0"/>
        <v>6.9945191986648485</v>
      </c>
      <c r="F16" s="2">
        <f t="shared" si="1"/>
        <v>111.03078106114923</v>
      </c>
      <c r="G16" s="12" t="s">
        <v>93</v>
      </c>
      <c r="H16" s="12" t="s">
        <v>58</v>
      </c>
      <c r="K16" s="4"/>
    </row>
    <row r="17" spans="1:11" ht="15" customHeight="1" x14ac:dyDescent="0.25">
      <c r="A17" s="2" t="s">
        <v>20</v>
      </c>
      <c r="B17" s="2">
        <v>624.21265890879477</v>
      </c>
      <c r="C17" s="2">
        <v>1296.9267315173272</v>
      </c>
      <c r="D17" s="2">
        <v>1358.9584184214177</v>
      </c>
      <c r="E17" s="2">
        <f t="shared" si="0"/>
        <v>4.7829754292686317</v>
      </c>
      <c r="F17" s="2">
        <f t="shared" si="1"/>
        <v>117.70760317438203</v>
      </c>
      <c r="G17" s="12" t="s">
        <v>94</v>
      </c>
      <c r="H17" s="12" t="s">
        <v>59</v>
      </c>
      <c r="K17" s="4"/>
    </row>
    <row r="18" spans="1:11" ht="15" customHeight="1" x14ac:dyDescent="0.25">
      <c r="A18" s="2" t="s">
        <v>123</v>
      </c>
      <c r="B18" s="12"/>
      <c r="C18" s="2"/>
      <c r="D18" s="2">
        <v>4206.7995489414416</v>
      </c>
      <c r="E18" s="2"/>
      <c r="F18" s="2"/>
      <c r="G18" s="12" t="s">
        <v>137</v>
      </c>
      <c r="H18" s="12" t="s">
        <v>130</v>
      </c>
      <c r="K18" s="4"/>
    </row>
    <row r="19" spans="1:11" ht="15" customHeight="1" x14ac:dyDescent="0.25">
      <c r="A19" s="2" t="s">
        <v>127</v>
      </c>
      <c r="B19" s="12"/>
      <c r="C19" s="2"/>
      <c r="D19" s="12">
        <v>6202.3575047263503</v>
      </c>
      <c r="E19" s="2"/>
      <c r="F19" s="2"/>
      <c r="G19" s="12" t="s">
        <v>138</v>
      </c>
      <c r="H19" s="12" t="s">
        <v>131</v>
      </c>
      <c r="K19" s="4"/>
    </row>
    <row r="20" spans="1:11" ht="15" customHeight="1" x14ac:dyDescent="0.25">
      <c r="A20" s="2" t="s">
        <v>21</v>
      </c>
      <c r="B20" s="2"/>
      <c r="C20" s="2"/>
      <c r="D20" s="2">
        <v>2939.7346322297294</v>
      </c>
      <c r="E20" s="2"/>
      <c r="F20" s="2"/>
      <c r="G20" s="12" t="s">
        <v>95</v>
      </c>
      <c r="H20" s="12" t="s">
        <v>60</v>
      </c>
      <c r="K20" s="4"/>
    </row>
    <row r="21" spans="1:11" ht="15" customHeight="1" x14ac:dyDescent="0.25">
      <c r="A21" s="2" t="s">
        <v>124</v>
      </c>
      <c r="B21" s="12"/>
      <c r="C21" s="2"/>
      <c r="D21" s="2">
        <v>2387.7568033521352</v>
      </c>
      <c r="E21" s="2"/>
      <c r="F21" s="2"/>
      <c r="G21" s="12" t="s">
        <v>139</v>
      </c>
      <c r="H21" s="12" t="s">
        <v>132</v>
      </c>
      <c r="K21" s="4"/>
    </row>
    <row r="22" spans="1:11" ht="15" customHeight="1" x14ac:dyDescent="0.25">
      <c r="A22" s="2" t="s">
        <v>22</v>
      </c>
      <c r="B22" s="2">
        <v>1051.7684368720343</v>
      </c>
      <c r="C22" s="2">
        <v>1818.2876324441518</v>
      </c>
      <c r="D22" s="2">
        <v>1790.9108765279882</v>
      </c>
      <c r="E22" s="2">
        <f t="shared" si="0"/>
        <v>-1.5056339507387837</v>
      </c>
      <c r="F22" s="2">
        <f t="shared" si="1"/>
        <v>70.276157160046367</v>
      </c>
      <c r="G22" s="12" t="s">
        <v>96</v>
      </c>
      <c r="H22" s="12" t="s">
        <v>61</v>
      </c>
      <c r="K22" s="4"/>
    </row>
    <row r="23" spans="1:11" ht="15" customHeight="1" x14ac:dyDescent="0.25">
      <c r="A23" s="2" t="s">
        <v>23</v>
      </c>
      <c r="B23" s="2"/>
      <c r="C23" s="2"/>
      <c r="D23" s="2">
        <v>2508.1549602219034</v>
      </c>
      <c r="E23" s="2"/>
      <c r="F23" s="2"/>
      <c r="G23" s="12" t="s">
        <v>97</v>
      </c>
      <c r="H23" s="12" t="s">
        <v>62</v>
      </c>
      <c r="K23" s="4"/>
    </row>
    <row r="24" spans="1:11" ht="15" customHeight="1" x14ac:dyDescent="0.25">
      <c r="A24" s="2" t="s">
        <v>24</v>
      </c>
      <c r="B24" s="2">
        <v>2457.9634949297056</v>
      </c>
      <c r="C24" s="2">
        <v>4287.6540179701424</v>
      </c>
      <c r="D24" s="2">
        <v>5117.8059351929433</v>
      </c>
      <c r="E24" s="2">
        <f t="shared" si="0"/>
        <v>19.361448329168375</v>
      </c>
      <c r="F24" s="2">
        <f t="shared" si="1"/>
        <v>108.21326052034412</v>
      </c>
      <c r="G24" s="12" t="s">
        <v>98</v>
      </c>
      <c r="H24" s="12" t="s">
        <v>63</v>
      </c>
      <c r="K24" s="4"/>
    </row>
    <row r="25" spans="1:11" ht="15" customHeight="1" x14ac:dyDescent="0.25">
      <c r="A25" s="2" t="s">
        <v>25</v>
      </c>
      <c r="B25" s="2">
        <v>633.91205304567347</v>
      </c>
      <c r="C25" s="2">
        <v>1151.1347128757118</v>
      </c>
      <c r="D25" s="2">
        <v>1168.3379724972651</v>
      </c>
      <c r="E25" s="2">
        <f t="shared" si="0"/>
        <v>1.4944610243380596</v>
      </c>
      <c r="F25" s="2">
        <f t="shared" si="1"/>
        <v>84.306003787734596</v>
      </c>
      <c r="G25" s="12" t="s">
        <v>99</v>
      </c>
      <c r="H25" s="12" t="s">
        <v>64</v>
      </c>
      <c r="K25" s="4"/>
    </row>
    <row r="26" spans="1:11" ht="15" customHeight="1" x14ac:dyDescent="0.25">
      <c r="A26" s="2" t="s">
        <v>26</v>
      </c>
      <c r="B26" s="2">
        <v>881.19765322602154</v>
      </c>
      <c r="C26" s="2">
        <v>2057.8108721538001</v>
      </c>
      <c r="D26" s="2">
        <v>1367.6215629373394</v>
      </c>
      <c r="E26" s="2">
        <f t="shared" si="0"/>
        <v>-33.539977777164559</v>
      </c>
      <c r="F26" s="2">
        <f t="shared" si="1"/>
        <v>55.200318331596051</v>
      </c>
      <c r="G26" s="12" t="s">
        <v>100</v>
      </c>
      <c r="H26" s="12" t="s">
        <v>65</v>
      </c>
      <c r="K26" s="4"/>
    </row>
    <row r="27" spans="1:11" ht="15" customHeight="1" x14ac:dyDescent="0.25">
      <c r="A27" s="2" t="s">
        <v>27</v>
      </c>
      <c r="B27" s="2">
        <v>1456.7227539583407</v>
      </c>
      <c r="C27" s="2">
        <v>2582.3479986950401</v>
      </c>
      <c r="D27" s="2">
        <v>2329.5428046950337</v>
      </c>
      <c r="E27" s="2">
        <f t="shared" si="0"/>
        <v>-9.7897415115142739</v>
      </c>
      <c r="F27" s="2">
        <f t="shared" si="1"/>
        <v>59.916689594158278</v>
      </c>
      <c r="G27" s="12" t="s">
        <v>101</v>
      </c>
      <c r="H27" s="12" t="s">
        <v>66</v>
      </c>
      <c r="K27" s="4"/>
    </row>
    <row r="28" spans="1:11" ht="15" customHeight="1" x14ac:dyDescent="0.25">
      <c r="A28" s="2" t="s">
        <v>28</v>
      </c>
      <c r="B28" s="2">
        <v>810.66697878947923</v>
      </c>
      <c r="C28" s="2">
        <v>1533.6809681028672</v>
      </c>
      <c r="D28" s="2">
        <v>1876.0258662337449</v>
      </c>
      <c r="E28" s="2">
        <f t="shared" si="0"/>
        <v>22.32178042571341</v>
      </c>
      <c r="F28" s="2">
        <f t="shared" si="1"/>
        <v>131.41757531990544</v>
      </c>
      <c r="G28" s="12" t="s">
        <v>102</v>
      </c>
      <c r="H28" s="12" t="s">
        <v>67</v>
      </c>
      <c r="K28" s="4"/>
    </row>
    <row r="29" spans="1:11" ht="15" customHeight="1" x14ac:dyDescent="0.25">
      <c r="A29" s="2" t="s">
        <v>29</v>
      </c>
      <c r="B29" s="2">
        <v>811.94516660819102</v>
      </c>
      <c r="C29" s="2">
        <v>1550.1513842884733</v>
      </c>
      <c r="D29" s="2">
        <v>2119.0689292685547</v>
      </c>
      <c r="E29" s="2">
        <f t="shared" si="0"/>
        <v>36.700773275844746</v>
      </c>
      <c r="F29" s="2">
        <f t="shared" si="1"/>
        <v>160.98670408011975</v>
      </c>
      <c r="G29" s="12" t="s">
        <v>103</v>
      </c>
      <c r="H29" s="12" t="s">
        <v>68</v>
      </c>
      <c r="K29" s="4"/>
    </row>
    <row r="30" spans="1:11" ht="15" customHeight="1" x14ac:dyDescent="0.25">
      <c r="A30" s="2" t="s">
        <v>31</v>
      </c>
      <c r="B30" s="2">
        <v>1021.785694288337</v>
      </c>
      <c r="C30" s="2">
        <v>1944.40389945518</v>
      </c>
      <c r="D30" s="2">
        <v>2067.9978229893177</v>
      </c>
      <c r="E30" s="2">
        <f t="shared" si="0"/>
        <v>6.3563914662364454</v>
      </c>
      <c r="F30" s="2">
        <f t="shared" si="1"/>
        <v>102.39056335875365</v>
      </c>
      <c r="G30" s="12" t="s">
        <v>104</v>
      </c>
      <c r="H30" s="12" t="s">
        <v>69</v>
      </c>
      <c r="K30" s="4"/>
    </row>
    <row r="31" spans="1:11" ht="15" customHeight="1" x14ac:dyDescent="0.25">
      <c r="A31" s="2" t="s">
        <v>33</v>
      </c>
      <c r="B31" s="2">
        <v>1322.005606715556</v>
      </c>
      <c r="C31" s="2">
        <v>2520.775724770338</v>
      </c>
      <c r="D31" s="2">
        <v>2505.4793990864414</v>
      </c>
      <c r="E31" s="2">
        <f t="shared" si="0"/>
        <v>-0.60681025819106638</v>
      </c>
      <c r="F31" s="2">
        <f t="shared" si="1"/>
        <v>89.521087229815549</v>
      </c>
      <c r="G31" s="12" t="s">
        <v>105</v>
      </c>
      <c r="H31" s="12" t="s">
        <v>70</v>
      </c>
      <c r="K31" s="4"/>
    </row>
    <row r="32" spans="1:11" ht="15" customHeight="1" x14ac:dyDescent="0.25">
      <c r="A32" s="2" t="s">
        <v>125</v>
      </c>
      <c r="B32" s="12"/>
      <c r="C32" s="2"/>
      <c r="D32" s="2">
        <v>2072.0011794684688</v>
      </c>
      <c r="E32" s="2"/>
      <c r="F32" s="2"/>
      <c r="G32" s="12" t="s">
        <v>140</v>
      </c>
      <c r="H32" s="12" t="s">
        <v>133</v>
      </c>
      <c r="K32" s="4"/>
    </row>
    <row r="33" spans="1:11" ht="15" customHeight="1" x14ac:dyDescent="0.25">
      <c r="A33" s="2" t="s">
        <v>34</v>
      </c>
      <c r="B33" s="2"/>
      <c r="C33" s="2"/>
      <c r="D33" s="2">
        <v>5407.6326790166659</v>
      </c>
      <c r="E33" s="2"/>
      <c r="F33" s="2"/>
      <c r="G33" s="12" t="s">
        <v>106</v>
      </c>
      <c r="H33" s="12" t="s">
        <v>71</v>
      </c>
      <c r="K33" s="4"/>
    </row>
    <row r="34" spans="1:11" ht="15" customHeight="1" x14ac:dyDescent="0.25">
      <c r="A34" s="2" t="s">
        <v>35</v>
      </c>
      <c r="B34" s="2">
        <v>615.47258348388311</v>
      </c>
      <c r="C34" s="2">
        <v>930.78900812666495</v>
      </c>
      <c r="D34" s="2">
        <v>852.51531154864881</v>
      </c>
      <c r="E34" s="2">
        <f t="shared" si="0"/>
        <v>-8.4093920205989789</v>
      </c>
      <c r="F34" s="2">
        <f t="shared" si="1"/>
        <v>38.513937813929118</v>
      </c>
      <c r="G34" s="12" t="s">
        <v>32</v>
      </c>
      <c r="H34" s="12" t="s">
        <v>72</v>
      </c>
      <c r="K34" s="4"/>
    </row>
    <row r="35" spans="1:11" ht="15" customHeight="1" x14ac:dyDescent="0.25">
      <c r="A35" s="2" t="s">
        <v>36</v>
      </c>
      <c r="B35" s="2">
        <v>2214.4284135726962</v>
      </c>
      <c r="C35" s="2">
        <v>4106.7161954740232</v>
      </c>
      <c r="D35" s="2">
        <v>5065.363191184375</v>
      </c>
      <c r="E35" s="2">
        <f t="shared" si="0"/>
        <v>23.343395308564745</v>
      </c>
      <c r="F35" s="2">
        <f t="shared" si="1"/>
        <v>128.74359632208933</v>
      </c>
      <c r="G35" s="12" t="s">
        <v>107</v>
      </c>
      <c r="H35" s="12" t="s">
        <v>73</v>
      </c>
      <c r="K35" s="4"/>
    </row>
    <row r="36" spans="1:11" ht="15" customHeight="1" x14ac:dyDescent="0.25">
      <c r="A36" s="2" t="s">
        <v>37</v>
      </c>
      <c r="B36" s="2">
        <v>575.78306237246795</v>
      </c>
      <c r="C36" s="2">
        <v>1014.7414650661032</v>
      </c>
      <c r="D36" s="2">
        <v>928.00162815407714</v>
      </c>
      <c r="E36" s="2">
        <f t="shared" si="0"/>
        <v>-8.5479740306439087</v>
      </c>
      <c r="F36" s="2">
        <f t="shared" si="1"/>
        <v>61.172095672686311</v>
      </c>
      <c r="G36" s="12" t="s">
        <v>108</v>
      </c>
      <c r="H36" s="12" t="s">
        <v>74</v>
      </c>
      <c r="K36" s="4"/>
    </row>
    <row r="37" spans="1:11" ht="15" customHeight="1" x14ac:dyDescent="0.25">
      <c r="A37" s="2" t="s">
        <v>38</v>
      </c>
      <c r="B37" s="2"/>
      <c r="C37" s="2"/>
      <c r="D37" s="2">
        <v>837.2325512462462</v>
      </c>
      <c r="E37" s="2"/>
      <c r="F37" s="2"/>
      <c r="G37" s="12" t="s">
        <v>109</v>
      </c>
      <c r="H37" s="12" t="s">
        <v>75</v>
      </c>
      <c r="K37" s="4"/>
    </row>
    <row r="38" spans="1:11" ht="15" customHeight="1" x14ac:dyDescent="0.25">
      <c r="A38" s="2" t="s">
        <v>39</v>
      </c>
      <c r="B38" s="2">
        <v>2628.5079693409893</v>
      </c>
      <c r="C38" s="2">
        <v>4725.1654426294272</v>
      </c>
      <c r="D38" s="2">
        <v>5467.2313446228072</v>
      </c>
      <c r="E38" s="2">
        <f t="shared" si="0"/>
        <v>15.704548570905496</v>
      </c>
      <c r="F38" s="2">
        <f t="shared" si="1"/>
        <v>107.99751830288469</v>
      </c>
      <c r="G38" s="12" t="s">
        <v>110</v>
      </c>
      <c r="H38" s="12" t="s">
        <v>76</v>
      </c>
      <c r="K38" s="4"/>
    </row>
    <row r="39" spans="1:11" ht="15" customHeight="1" x14ac:dyDescent="0.25">
      <c r="A39" s="2" t="s">
        <v>40</v>
      </c>
      <c r="B39" s="2">
        <v>845.25823994735742</v>
      </c>
      <c r="C39" s="2">
        <v>1453.4956678575129</v>
      </c>
      <c r="D39" s="2">
        <v>1081.439135977027</v>
      </c>
      <c r="E39" s="2">
        <f t="shared" si="0"/>
        <v>-25.597360907783511</v>
      </c>
      <c r="F39" s="2">
        <f t="shared" si="1"/>
        <v>27.941862600993861</v>
      </c>
      <c r="G39" s="12" t="s">
        <v>111</v>
      </c>
      <c r="H39" s="12" t="s">
        <v>77</v>
      </c>
      <c r="K39" s="4"/>
    </row>
    <row r="40" spans="1:11" ht="15" customHeight="1" x14ac:dyDescent="0.25">
      <c r="A40" s="2" t="s">
        <v>41</v>
      </c>
      <c r="B40" s="2">
        <v>1782.7715119918375</v>
      </c>
      <c r="C40" s="2">
        <v>3362.8340562642097</v>
      </c>
      <c r="D40" s="2">
        <v>2975.961923490991</v>
      </c>
      <c r="E40" s="2">
        <f t="shared" si="0"/>
        <v>-11.504348008268865</v>
      </c>
      <c r="F40" s="2">
        <f t="shared" si="1"/>
        <v>66.928958841508376</v>
      </c>
      <c r="G40" s="12" t="s">
        <v>112</v>
      </c>
      <c r="H40" s="12" t="s">
        <v>30</v>
      </c>
      <c r="K40" s="4"/>
    </row>
    <row r="41" spans="1:11" ht="15" customHeight="1" x14ac:dyDescent="0.25">
      <c r="A41" s="2" t="s">
        <v>126</v>
      </c>
      <c r="B41" s="12"/>
      <c r="C41" s="2"/>
      <c r="D41" s="2">
        <v>1850.843269956081</v>
      </c>
      <c r="E41" s="2"/>
      <c r="F41" s="2"/>
      <c r="G41" s="12" t="s">
        <v>141</v>
      </c>
      <c r="H41" s="12" t="s">
        <v>134</v>
      </c>
      <c r="K41" s="4"/>
    </row>
    <row r="42" spans="1:11" ht="15" customHeight="1" x14ac:dyDescent="0.25">
      <c r="A42" s="2" t="s">
        <v>42</v>
      </c>
      <c r="B42" s="2">
        <v>2042.9839571345094</v>
      </c>
      <c r="C42" s="2">
        <v>3871.4754362969393</v>
      </c>
      <c r="D42" s="2">
        <v>3847.3656922479145</v>
      </c>
      <c r="E42" s="2">
        <f t="shared" si="0"/>
        <v>-0.62275337776870276</v>
      </c>
      <c r="F42" s="2">
        <f t="shared" si="1"/>
        <v>88.320895952811696</v>
      </c>
      <c r="G42" s="12" t="s">
        <v>113</v>
      </c>
      <c r="H42" s="12" t="s">
        <v>78</v>
      </c>
      <c r="K42" s="4"/>
    </row>
    <row r="43" spans="1:11" ht="15" customHeight="1" x14ac:dyDescent="0.25">
      <c r="A43" s="2" t="s">
        <v>43</v>
      </c>
      <c r="B43" s="2">
        <v>901.94204572569618</v>
      </c>
      <c r="C43" s="2">
        <v>1905.9009786079298</v>
      </c>
      <c r="D43" s="2">
        <v>1991.3299394697337</v>
      </c>
      <c r="E43" s="2">
        <f t="shared" si="0"/>
        <v>4.4823399442399818</v>
      </c>
      <c r="F43" s="2">
        <f t="shared" si="1"/>
        <v>120.78247143557033</v>
      </c>
      <c r="G43" s="12" t="s">
        <v>114</v>
      </c>
      <c r="H43" s="12" t="s">
        <v>79</v>
      </c>
      <c r="K43" s="4"/>
    </row>
    <row r="44" spans="1:11" ht="15" customHeight="1" x14ac:dyDescent="0.25">
      <c r="A44" s="3"/>
      <c r="B44" s="3"/>
      <c r="C44" s="3"/>
      <c r="D44" s="3"/>
    </row>
    <row r="45" spans="1:11" ht="15" customHeight="1" x14ac:dyDescent="0.25">
      <c r="A45" s="3"/>
      <c r="B45" s="3"/>
      <c r="C45" s="3"/>
      <c r="D45" s="3"/>
    </row>
    <row r="46" spans="1:11" ht="15" customHeight="1" x14ac:dyDescent="0.25">
      <c r="A46" s="3"/>
      <c r="B46" s="3"/>
      <c r="C46" s="3"/>
      <c r="D46" s="3"/>
    </row>
    <row r="47" spans="1:11" ht="15" customHeight="1" x14ac:dyDescent="0.25">
      <c r="A47" s="3"/>
      <c r="B47" s="3"/>
      <c r="C47" s="3"/>
      <c r="D47" s="3"/>
    </row>
    <row r="48" spans="1:11" ht="15" customHeight="1" x14ac:dyDescent="0.25">
      <c r="A48" s="3"/>
      <c r="B48" s="3"/>
      <c r="C48" s="3"/>
      <c r="D48" s="3"/>
    </row>
    <row r="49" spans="1:4" ht="15" customHeight="1" x14ac:dyDescent="0.25">
      <c r="A49" s="3"/>
      <c r="B49" s="3"/>
      <c r="C49" s="3"/>
      <c r="D49" s="3"/>
    </row>
    <row r="50" spans="1:4" ht="15" customHeight="1" x14ac:dyDescent="0.25">
      <c r="A50" s="3"/>
      <c r="B50" s="3"/>
      <c r="C50" s="3"/>
      <c r="D50" s="3"/>
    </row>
    <row r="51" spans="1:4" x14ac:dyDescent="0.25">
      <c r="D5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433E-AB58-4F6C-8707-94C103F83EFD}">
  <sheetPr codeName="Sheet2"/>
  <dimension ref="A1:G43"/>
  <sheetViews>
    <sheetView workbookViewId="0">
      <selection activeCell="C4" sqref="C4"/>
    </sheetView>
  </sheetViews>
  <sheetFormatPr defaultRowHeight="15" x14ac:dyDescent="0.25"/>
  <cols>
    <col min="1" max="1" width="38.5703125" bestFit="1" customWidth="1"/>
    <col min="2" max="2" width="16.7109375" bestFit="1" customWidth="1"/>
    <col min="3" max="3" width="12.85546875" bestFit="1" customWidth="1"/>
    <col min="4" max="4" width="13.42578125" bestFit="1" customWidth="1"/>
    <col min="5" max="5" width="12.5703125" bestFit="1" customWidth="1"/>
    <col min="6" max="6" width="14.42578125" bestFit="1" customWidth="1"/>
    <col min="7" max="7" width="13.28515625" bestFit="1" customWidth="1"/>
  </cols>
  <sheetData>
    <row r="1" spans="1:7" s="9" customFormat="1" x14ac:dyDescent="0.25">
      <c r="A1" s="13" t="s">
        <v>44</v>
      </c>
      <c r="B1" s="13" t="s">
        <v>115</v>
      </c>
      <c r="C1" s="13" t="s">
        <v>116</v>
      </c>
      <c r="D1" s="13" t="s">
        <v>117</v>
      </c>
      <c r="E1" s="13" t="s">
        <v>118</v>
      </c>
      <c r="F1" s="13" t="s">
        <v>119</v>
      </c>
      <c r="G1" s="13" t="s">
        <v>120</v>
      </c>
    </row>
    <row r="2" spans="1:7" x14ac:dyDescent="0.25">
      <c r="A2" s="12" t="s">
        <v>7</v>
      </c>
      <c r="B2" s="2">
        <v>237.39283071428574</v>
      </c>
      <c r="C2" s="2">
        <v>231.66666666666666</v>
      </c>
      <c r="D2" s="2">
        <v>239.1904761904762</v>
      </c>
      <c r="E2" s="2">
        <v>280.28966019999996</v>
      </c>
      <c r="F2" s="2">
        <v>257.5</v>
      </c>
      <c r="G2" s="2">
        <v>250.83333333333334</v>
      </c>
    </row>
    <row r="3" spans="1:7" x14ac:dyDescent="0.25">
      <c r="A3" s="12" t="s">
        <v>8</v>
      </c>
      <c r="B3" s="2">
        <v>5311.2876178571432</v>
      </c>
      <c r="C3" s="2">
        <v>6250</v>
      </c>
      <c r="D3" s="2">
        <v>5712.5</v>
      </c>
      <c r="E3" s="2">
        <v>6293.4381200000007</v>
      </c>
      <c r="F3" s="2">
        <v>5992.916666666667</v>
      </c>
      <c r="G3" s="2">
        <v>5900</v>
      </c>
    </row>
    <row r="4" spans="1:7" x14ac:dyDescent="0.25">
      <c r="A4" s="12" t="s">
        <v>9</v>
      </c>
      <c r="B4" s="2">
        <v>2580.8015296071426</v>
      </c>
      <c r="C4" s="2">
        <v>2434.8698172500003</v>
      </c>
      <c r="D4" s="2">
        <v>1836.714951660714</v>
      </c>
      <c r="E4" s="2">
        <v>2999.5864998833331</v>
      </c>
      <c r="F4" s="2">
        <v>2690.4450377333333</v>
      </c>
      <c r="G4" s="2">
        <v>2382.2157781249998</v>
      </c>
    </row>
    <row r="5" spans="1:7" x14ac:dyDescent="0.25">
      <c r="A5" s="12" t="s">
        <v>10</v>
      </c>
      <c r="B5" s="2">
        <v>2162.4802029404759</v>
      </c>
      <c r="C5" s="2">
        <v>1994.3279184166668</v>
      </c>
      <c r="D5" s="2">
        <v>1578.7085512921769</v>
      </c>
      <c r="E5" s="2">
        <v>2633.1405965595241</v>
      </c>
      <c r="F5" s="2">
        <v>2566.4797560773818</v>
      </c>
      <c r="G5" s="2">
        <v>1977.2817460317463</v>
      </c>
    </row>
    <row r="6" spans="1:7" x14ac:dyDescent="0.25">
      <c r="A6" s="12" t="s">
        <v>11</v>
      </c>
      <c r="B6" s="2">
        <v>5800.1340017857146</v>
      </c>
      <c r="C6" s="2">
        <v>5671.1111111111104</v>
      </c>
      <c r="D6" s="2">
        <v>5417.1428571428569</v>
      </c>
      <c r="E6" s="2">
        <v>7590.0523456361898</v>
      </c>
      <c r="F6" s="2">
        <v>6417.1633269513904</v>
      </c>
      <c r="G6" s="2">
        <v>6255.6967534166661</v>
      </c>
    </row>
    <row r="7" spans="1:7" x14ac:dyDescent="0.25">
      <c r="A7" s="12" t="s">
        <v>12</v>
      </c>
      <c r="B7" s="2">
        <v>1685.1633757142856</v>
      </c>
      <c r="C7" s="2">
        <v>1470.1826388888883</v>
      </c>
      <c r="D7" s="2">
        <v>1645.2857142857138</v>
      </c>
      <c r="E7" s="2">
        <v>1499.7777777777781</v>
      </c>
      <c r="F7" s="2">
        <v>1671.6666666666667</v>
      </c>
      <c r="G7" s="2">
        <v>1618.9814814814815</v>
      </c>
    </row>
    <row r="8" spans="1:7" x14ac:dyDescent="0.25">
      <c r="A8" s="12" t="s">
        <v>13</v>
      </c>
      <c r="B8" s="2">
        <v>1493.3049564285716</v>
      </c>
      <c r="C8" s="2">
        <v>1196.8745580833333</v>
      </c>
      <c r="D8" s="2">
        <v>1612.0271566088445</v>
      </c>
      <c r="E8" s="2">
        <v>1355.7206857000001</v>
      </c>
      <c r="F8" s="2">
        <v>1692.0138888888889</v>
      </c>
      <c r="G8" s="2">
        <v>1318.5185185185182</v>
      </c>
    </row>
    <row r="9" spans="1:7" x14ac:dyDescent="0.25">
      <c r="A9" s="12" t="s">
        <v>121</v>
      </c>
      <c r="B9" s="2">
        <v>1491.4285714285713</v>
      </c>
      <c r="C9" s="2">
        <v>1610</v>
      </c>
      <c r="D9" s="2">
        <v>1521.2869404047617</v>
      </c>
      <c r="E9" s="2">
        <v>2012.8975687999998</v>
      </c>
      <c r="F9" s="2">
        <v>2253.7878787499999</v>
      </c>
      <c r="G9" s="2">
        <v>1964.7916666666667</v>
      </c>
    </row>
    <row r="10" spans="1:7" x14ac:dyDescent="0.25">
      <c r="A10" s="12" t="s">
        <v>14</v>
      </c>
      <c r="B10" s="2">
        <v>6282.9826249523812</v>
      </c>
      <c r="C10" s="2">
        <v>5088.0952380833332</v>
      </c>
      <c r="D10" s="2">
        <v>4109.8214285714284</v>
      </c>
      <c r="E10" s="2">
        <v>5510.7806997999996</v>
      </c>
      <c r="F10" s="2">
        <v>5455.3931623125</v>
      </c>
      <c r="G10" s="2">
        <v>4971.6248506759266</v>
      </c>
    </row>
    <row r="11" spans="1:7" x14ac:dyDescent="0.25">
      <c r="A11" s="12" t="s">
        <v>15</v>
      </c>
      <c r="B11" s="2">
        <v>3582.5236246428572</v>
      </c>
      <c r="C11" s="2">
        <v>2791.6666666666665</v>
      </c>
      <c r="D11" s="2">
        <v>2329.6145833571431</v>
      </c>
      <c r="E11" s="2">
        <v>3146.5986943039998</v>
      </c>
      <c r="F11" s="2">
        <v>3767.1666666666665</v>
      </c>
      <c r="G11" s="2">
        <v>4232.2222222222217</v>
      </c>
    </row>
    <row r="12" spans="1:7" x14ac:dyDescent="0.25">
      <c r="A12" s="12" t="s">
        <v>16</v>
      </c>
      <c r="B12" s="2">
        <v>6071.7360012443241</v>
      </c>
      <c r="C12" s="2">
        <v>4550</v>
      </c>
      <c r="D12" s="2">
        <v>4400</v>
      </c>
      <c r="E12" s="2">
        <v>7440</v>
      </c>
      <c r="F12" s="2">
        <v>5381.333333333333</v>
      </c>
      <c r="G12" s="2">
        <v>5550</v>
      </c>
    </row>
    <row r="13" spans="1:7" x14ac:dyDescent="0.25">
      <c r="A13" s="12" t="s">
        <v>17</v>
      </c>
      <c r="B13" s="2">
        <v>4609.0393705498582</v>
      </c>
      <c r="C13" s="2">
        <v>3451.5416666666665</v>
      </c>
      <c r="D13" s="2">
        <v>3809.7077921428572</v>
      </c>
      <c r="E13" s="2">
        <v>4430.9237713640005</v>
      </c>
      <c r="F13" s="2">
        <v>4847.2222222222217</v>
      </c>
      <c r="G13" s="2">
        <v>4950.9259259166665</v>
      </c>
    </row>
    <row r="14" spans="1:7" x14ac:dyDescent="0.25">
      <c r="A14" s="12" t="s">
        <v>122</v>
      </c>
      <c r="B14" s="2">
        <v>6954.076357142857</v>
      </c>
      <c r="C14" s="2">
        <v>6705.5555555833334</v>
      </c>
      <c r="D14" s="2">
        <v>6730.1946002142859</v>
      </c>
      <c r="E14" s="2">
        <v>6078.9590934666603</v>
      </c>
      <c r="F14" s="2">
        <v>4683.333333333333</v>
      </c>
      <c r="G14" s="2">
        <v>5980.4135224583333</v>
      </c>
    </row>
    <row r="15" spans="1:7" x14ac:dyDescent="0.25">
      <c r="A15" s="12" t="s">
        <v>18</v>
      </c>
      <c r="B15" s="2">
        <v>7392.071889357142</v>
      </c>
      <c r="C15" s="2">
        <v>5408.1780168333335</v>
      </c>
      <c r="D15" s="2">
        <v>5263.5930736428572</v>
      </c>
      <c r="E15" s="2">
        <v>8147.9198292000001</v>
      </c>
      <c r="F15" s="2">
        <v>5575.8237134166666</v>
      </c>
      <c r="G15" s="2">
        <v>5275</v>
      </c>
    </row>
    <row r="16" spans="1:7" x14ac:dyDescent="0.25">
      <c r="A16" s="12" t="s">
        <v>19</v>
      </c>
      <c r="B16" s="2">
        <v>1212.7668316190479</v>
      </c>
      <c r="C16" s="2">
        <v>1336.2595670833334</v>
      </c>
      <c r="D16" s="2">
        <v>1499.0255479833343</v>
      </c>
      <c r="E16" s="2">
        <v>1291.211846038095</v>
      </c>
      <c r="F16" s="2">
        <v>1224.5129446000001</v>
      </c>
      <c r="G16" s="2">
        <v>1016.5416065396824</v>
      </c>
    </row>
    <row r="17" spans="1:7" x14ac:dyDescent="0.25">
      <c r="A17" s="12" t="s">
        <v>20</v>
      </c>
      <c r="B17" s="2">
        <v>1269.2062141857143</v>
      </c>
      <c r="C17" s="2">
        <v>1494.0327344999998</v>
      </c>
      <c r="D17" s="2">
        <v>1575.8767902821432</v>
      </c>
      <c r="E17" s="2">
        <v>1348.0026558634922</v>
      </c>
      <c r="F17" s="2">
        <v>1303.17884725</v>
      </c>
      <c r="G17" s="2">
        <v>1140.4329467499999</v>
      </c>
    </row>
    <row r="18" spans="1:7" x14ac:dyDescent="0.25">
      <c r="A18" s="12" t="s">
        <v>123</v>
      </c>
      <c r="B18" s="2">
        <v>4050.6996922142862</v>
      </c>
      <c r="C18" s="2">
        <v>3949.1666666666665</v>
      </c>
      <c r="D18" s="2">
        <v>3483.5714286190478</v>
      </c>
      <c r="E18" s="2">
        <v>4623.3370930000001</v>
      </c>
      <c r="F18" s="2">
        <v>4650</v>
      </c>
      <c r="G18" s="2">
        <v>4700</v>
      </c>
    </row>
    <row r="19" spans="1:7" x14ac:dyDescent="0.25">
      <c r="A19" s="12" t="s">
        <v>127</v>
      </c>
      <c r="B19" s="2">
        <v>5276.5291725714287</v>
      </c>
      <c r="C19" s="2">
        <v>5457.2586666666666</v>
      </c>
      <c r="D19" s="2">
        <v>5511.5207373809526</v>
      </c>
      <c r="E19" s="2">
        <v>7629.2408036000006</v>
      </c>
      <c r="F19" s="2">
        <v>7025.8782591249992</v>
      </c>
      <c r="G19" s="2">
        <v>6820.9754554097226</v>
      </c>
    </row>
    <row r="20" spans="1:7" x14ac:dyDescent="0.25">
      <c r="A20" s="12" t="s">
        <v>21</v>
      </c>
      <c r="B20" s="2">
        <v>2601.1971339285715</v>
      </c>
      <c r="C20" s="2">
        <v>2702.77777775</v>
      </c>
      <c r="D20" s="2">
        <v>2683.2814285952377</v>
      </c>
      <c r="E20" s="2">
        <v>2850.166291</v>
      </c>
      <c r="F20" s="2">
        <v>3498.6111111111113</v>
      </c>
      <c r="G20" s="2">
        <v>3386.6111111111109</v>
      </c>
    </row>
    <row r="21" spans="1:7" x14ac:dyDescent="0.25">
      <c r="A21" s="12" t="s">
        <v>124</v>
      </c>
      <c r="B21" s="2">
        <v>2328.2901622898571</v>
      </c>
      <c r="C21" s="2">
        <v>2150</v>
      </c>
      <c r="D21" s="2">
        <v>2191.6386554285714</v>
      </c>
      <c r="E21" s="2">
        <v>2660</v>
      </c>
      <c r="F21" s="2">
        <v>2761.6666666666665</v>
      </c>
      <c r="G21" s="2">
        <v>2322.9166666666665</v>
      </c>
    </row>
    <row r="22" spans="1:7" x14ac:dyDescent="0.25">
      <c r="A22" s="12" t="s">
        <v>22</v>
      </c>
      <c r="B22" s="2">
        <v>1714.857713641986</v>
      </c>
      <c r="C22" s="2">
        <v>1243.14516125</v>
      </c>
      <c r="D22" s="2">
        <v>1341.6481488035715</v>
      </c>
      <c r="E22" s="2">
        <v>2381.1662614499996</v>
      </c>
      <c r="F22" s="2">
        <v>2051.9654088333332</v>
      </c>
      <c r="G22" s="2">
        <v>2198.6111111111113</v>
      </c>
    </row>
    <row r="23" spans="1:7" x14ac:dyDescent="0.25">
      <c r="A23" s="12" t="s">
        <v>23</v>
      </c>
      <c r="B23" s="2">
        <v>3005.1256028555713</v>
      </c>
      <c r="C23" s="2">
        <v>1619.7363222499998</v>
      </c>
      <c r="D23" s="2">
        <v>1571.4035087023815</v>
      </c>
      <c r="E23" s="2">
        <v>2294.641268596667</v>
      </c>
      <c r="F23" s="2">
        <v>3157.6731600416665</v>
      </c>
      <c r="G23" s="2">
        <v>3438.061085095238</v>
      </c>
    </row>
    <row r="24" spans="1:7" x14ac:dyDescent="0.25">
      <c r="A24" s="12" t="s">
        <v>24</v>
      </c>
      <c r="B24" s="2">
        <v>7344.777166285714</v>
      </c>
      <c r="C24" s="2">
        <v>4919.1176470833334</v>
      </c>
      <c r="D24" s="2">
        <v>4486.1309523809532</v>
      </c>
      <c r="E24" s="2">
        <v>4463.4878857499989</v>
      </c>
      <c r="F24" s="2">
        <v>4768.2142857500003</v>
      </c>
      <c r="G24" s="2">
        <v>4350.1719576203704</v>
      </c>
    </row>
    <row r="25" spans="1:7" x14ac:dyDescent="0.25">
      <c r="A25" s="12" t="s">
        <v>25</v>
      </c>
      <c r="B25" s="2">
        <v>1017.4909984047619</v>
      </c>
      <c r="C25" s="2">
        <v>1052.0022724583332</v>
      </c>
      <c r="D25" s="2">
        <v>1003.7791467414962</v>
      </c>
      <c r="E25" s="2">
        <v>1433.6338558749999</v>
      </c>
      <c r="F25" s="2">
        <v>1387.8421900833334</v>
      </c>
      <c r="G25" s="2">
        <v>1212.0629852916666</v>
      </c>
    </row>
    <row r="26" spans="1:7" x14ac:dyDescent="0.25">
      <c r="A26" s="12" t="s">
        <v>26</v>
      </c>
      <c r="B26" s="2">
        <v>1210.5583224285713</v>
      </c>
      <c r="C26" s="2">
        <v>743.61111111111097</v>
      </c>
      <c r="D26" s="2">
        <v>1116.0421537559528</v>
      </c>
      <c r="E26" s="2">
        <v>1766.9644546446427</v>
      </c>
      <c r="F26" s="2">
        <v>2359.9305555555561</v>
      </c>
      <c r="G26" s="2">
        <v>1143.2870370277783</v>
      </c>
    </row>
    <row r="27" spans="1:7" x14ac:dyDescent="0.25">
      <c r="A27" s="12" t="s">
        <v>27</v>
      </c>
      <c r="B27" s="2">
        <v>2057.8403214285713</v>
      </c>
      <c r="C27" s="2">
        <v>1907.7777778055558</v>
      </c>
      <c r="D27" s="2">
        <v>2552.7824675571428</v>
      </c>
      <c r="E27" s="2">
        <v>2329.0871578555552</v>
      </c>
      <c r="F27" s="2">
        <v>2435.0694444166666</v>
      </c>
      <c r="G27" s="2">
        <v>2702.700854700855</v>
      </c>
    </row>
    <row r="28" spans="1:7" x14ac:dyDescent="0.25">
      <c r="A28" s="12" t="s">
        <v>28</v>
      </c>
      <c r="B28" s="2">
        <v>1961.8723898214287</v>
      </c>
      <c r="C28" s="2">
        <v>1799.2261904999998</v>
      </c>
      <c r="D28" s="2">
        <v>1716.0689865476186</v>
      </c>
      <c r="E28" s="2">
        <v>2020.136701166668</v>
      </c>
      <c r="F28" s="2">
        <v>1992.3482528472223</v>
      </c>
      <c r="G28" s="2">
        <v>1802.872875024759</v>
      </c>
    </row>
    <row r="29" spans="1:7" x14ac:dyDescent="0.25">
      <c r="A29" s="12" t="s">
        <v>29</v>
      </c>
      <c r="B29" s="2">
        <v>2296.9955735714284</v>
      </c>
      <c r="C29" s="2">
        <v>2104.4934639999997</v>
      </c>
      <c r="D29" s="2">
        <v>1910.565934</v>
      </c>
      <c r="E29" s="2">
        <v>2180.1741927452381</v>
      </c>
      <c r="F29" s="2">
        <v>2342.5269274702387</v>
      </c>
      <c r="G29" s="2">
        <v>1894.9377528981483</v>
      </c>
    </row>
    <row r="30" spans="1:7" x14ac:dyDescent="0.25">
      <c r="A30" s="12" t="s">
        <v>31</v>
      </c>
      <c r="B30" s="2">
        <v>2079.8736384476192</v>
      </c>
      <c r="C30" s="2">
        <v>1952.3110684583332</v>
      </c>
      <c r="D30" s="2">
        <v>2038.7620540602034</v>
      </c>
      <c r="E30" s="2">
        <v>1971.713390633334</v>
      </c>
      <c r="F30" s="2">
        <v>2271.3275613611113</v>
      </c>
      <c r="G30" s="2">
        <v>2080.8451451611113</v>
      </c>
    </row>
    <row r="31" spans="1:7" x14ac:dyDescent="0.25">
      <c r="A31" s="12" t="s">
        <v>33</v>
      </c>
      <c r="B31" s="2">
        <v>2532.2107080714291</v>
      </c>
      <c r="C31" s="2">
        <v>2241.3407833333335</v>
      </c>
      <c r="D31" s="2">
        <v>2678.3922907976184</v>
      </c>
      <c r="E31" s="2">
        <v>2497.2365051729998</v>
      </c>
      <c r="F31" s="2">
        <v>2626.5800866249997</v>
      </c>
      <c r="G31" s="2">
        <v>2422.4681714166668</v>
      </c>
    </row>
    <row r="32" spans="1:7" x14ac:dyDescent="0.25">
      <c r="A32" s="12" t="s">
        <v>125</v>
      </c>
      <c r="B32" s="2">
        <v>2118.1241110714286</v>
      </c>
      <c r="C32" s="2">
        <v>2091.6666666666665</v>
      </c>
      <c r="D32" s="2">
        <v>1771.4285714285713</v>
      </c>
      <c r="E32" s="2">
        <v>2365.2683059000001</v>
      </c>
      <c r="F32" s="2">
        <v>2252.0833333333335</v>
      </c>
      <c r="G32" s="2">
        <v>1924.7222222222224</v>
      </c>
    </row>
    <row r="33" spans="1:7" x14ac:dyDescent="0.25">
      <c r="A33" s="12" t="s">
        <v>80</v>
      </c>
      <c r="B33" s="2">
        <v>5704.2512871500003</v>
      </c>
      <c r="C33" s="2">
        <v>5433.333333333333</v>
      </c>
      <c r="D33" s="2">
        <v>4161.7589292619041</v>
      </c>
      <c r="E33" s="2">
        <v>5513.4867135266668</v>
      </c>
      <c r="F33" s="2">
        <v>6190.4840068333333</v>
      </c>
      <c r="G33" s="2">
        <v>5618.3333333500004</v>
      </c>
    </row>
    <row r="34" spans="1:7" x14ac:dyDescent="0.25">
      <c r="A34" s="12" t="s">
        <v>35</v>
      </c>
      <c r="B34" s="2">
        <v>723.00397778571426</v>
      </c>
      <c r="C34" s="2">
        <v>796.30718949999994</v>
      </c>
      <c r="D34" s="2">
        <v>676.73432742551017</v>
      </c>
      <c r="E34" s="2">
        <v>830.22466787619055</v>
      </c>
      <c r="F34" s="2">
        <v>1500.5392967361115</v>
      </c>
      <c r="G34" s="2">
        <v>635.44935567063487</v>
      </c>
    </row>
    <row r="35" spans="1:7" x14ac:dyDescent="0.25">
      <c r="A35" s="12" t="s">
        <v>36</v>
      </c>
      <c r="B35" s="2">
        <v>5851.9741879541425</v>
      </c>
      <c r="C35" s="2">
        <v>4900</v>
      </c>
      <c r="D35" s="2">
        <v>4627.4436089999999</v>
      </c>
      <c r="E35" s="2">
        <v>5121.731769</v>
      </c>
      <c r="F35" s="2">
        <v>4805</v>
      </c>
      <c r="G35" s="2">
        <v>5037.3091083571426</v>
      </c>
    </row>
    <row r="36" spans="1:7" x14ac:dyDescent="0.25">
      <c r="A36" s="12" t="s">
        <v>37</v>
      </c>
      <c r="B36" s="2">
        <v>899.83705528571431</v>
      </c>
      <c r="C36" s="2">
        <v>950</v>
      </c>
      <c r="D36" s="2">
        <v>856.42857142857144</v>
      </c>
      <c r="E36" s="2">
        <v>1030</v>
      </c>
      <c r="F36" s="2">
        <v>943.75</v>
      </c>
      <c r="G36" s="2">
        <v>921.61680911680924</v>
      </c>
    </row>
    <row r="37" spans="1:7" x14ac:dyDescent="0.25">
      <c r="A37" s="12" t="s">
        <v>38</v>
      </c>
      <c r="B37" s="2">
        <v>768.7847549999999</v>
      </c>
      <c r="C37" s="2">
        <v>856.66666666666663</v>
      </c>
      <c r="D37" s="2">
        <v>805.71428571428567</v>
      </c>
      <c r="E37" s="2">
        <v>816</v>
      </c>
      <c r="F37" s="2">
        <v>970</v>
      </c>
      <c r="G37" s="2">
        <v>819.35185185185185</v>
      </c>
    </row>
    <row r="38" spans="1:7" x14ac:dyDescent="0.25">
      <c r="A38" s="12" t="s">
        <v>39</v>
      </c>
      <c r="B38" s="2">
        <v>6647.7869222142845</v>
      </c>
      <c r="C38" s="2">
        <v>4825.5555555000001</v>
      </c>
      <c r="D38" s="2">
        <v>5878.0952380892859</v>
      </c>
      <c r="E38" s="2">
        <v>5187.1887535333344</v>
      </c>
      <c r="F38" s="2">
        <v>5248.5069443055545</v>
      </c>
      <c r="G38" s="2">
        <v>4704.344310403133</v>
      </c>
    </row>
    <row r="39" spans="1:7" x14ac:dyDescent="0.25">
      <c r="A39" s="12" t="s">
        <v>40</v>
      </c>
      <c r="B39" s="2">
        <v>952.30473457142864</v>
      </c>
      <c r="C39" s="2">
        <v>768.33333333333337</v>
      </c>
      <c r="D39" s="2">
        <v>790.45975332584942</v>
      </c>
      <c r="E39" s="2">
        <v>1611.5437920809522</v>
      </c>
      <c r="F39" s="2">
        <v>1208.33730159127</v>
      </c>
      <c r="G39" s="2">
        <v>1316.0256409861115</v>
      </c>
    </row>
    <row r="40" spans="1:7" x14ac:dyDescent="0.25">
      <c r="A40" s="12" t="s">
        <v>41</v>
      </c>
      <c r="B40" s="2">
        <v>2731.4177263095198</v>
      </c>
      <c r="C40" s="2">
        <v>2617.5925924999997</v>
      </c>
      <c r="D40" s="2">
        <v>2625.3571428571427</v>
      </c>
      <c r="E40" s="2">
        <v>2846.7723060666667</v>
      </c>
      <c r="F40" s="2">
        <v>3500</v>
      </c>
      <c r="G40" s="2">
        <v>3612.2916666111109</v>
      </c>
    </row>
    <row r="41" spans="1:7" x14ac:dyDescent="0.25">
      <c r="A41" s="12" t="s">
        <v>126</v>
      </c>
      <c r="B41" s="2">
        <v>1686.8699330714285</v>
      </c>
      <c r="C41" s="2">
        <v>1650</v>
      </c>
      <c r="D41" s="2">
        <v>1396.4047619107143</v>
      </c>
      <c r="E41" s="2">
        <v>2369.3556247000001</v>
      </c>
      <c r="F41" s="2">
        <v>2362.75</v>
      </c>
      <c r="G41" s="2">
        <v>1829.1666666666667</v>
      </c>
    </row>
    <row r="42" spans="1:7" x14ac:dyDescent="0.25">
      <c r="A42" s="12" t="s">
        <v>42</v>
      </c>
      <c r="B42" s="2">
        <v>3541.1573698498569</v>
      </c>
      <c r="C42" s="2">
        <v>3829.0270833333329</v>
      </c>
      <c r="D42" s="2">
        <v>3735.7142857142858</v>
      </c>
      <c r="E42" s="2">
        <v>5072.2318762733339</v>
      </c>
      <c r="F42" s="2">
        <v>3796.875</v>
      </c>
      <c r="G42" s="2">
        <v>3382.9761904761908</v>
      </c>
    </row>
    <row r="43" spans="1:7" x14ac:dyDescent="0.25">
      <c r="A43" s="12" t="s">
        <v>43</v>
      </c>
      <c r="B43" s="2">
        <v>1885.1125</v>
      </c>
      <c r="C43" s="2">
        <v>1704.4404558333335</v>
      </c>
      <c r="D43" s="2">
        <v>2043.0226889704088</v>
      </c>
      <c r="E43" s="2">
        <v>2140.4569150507941</v>
      </c>
      <c r="F43" s="2">
        <v>2248.6472462500001</v>
      </c>
      <c r="G43" s="2">
        <v>1960.2417749722226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Food Jan 2025</vt:lpstr>
      <vt:lpstr>Zone All item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Bukola Babalola</dc:creator>
  <cp:lastModifiedBy>Alheri David</cp:lastModifiedBy>
  <dcterms:created xsi:type="dcterms:W3CDTF">2025-05-01T11:09:04Z</dcterms:created>
  <dcterms:modified xsi:type="dcterms:W3CDTF">2025-06-03T21:44:48Z</dcterms:modified>
</cp:coreProperties>
</file>